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5068740-7782-494E-BAED-4E6CB6E48F29}" xr6:coauthVersionLast="47" xr6:coauthVersionMax="47" xr10:uidLastSave="{00000000-0000-0000-0000-000000000000}"/>
  <bookViews>
    <workbookView xWindow="-120" yWindow="-120" windowWidth="20730" windowHeight="11160" xr2:uid="{B2D450FA-D786-4F95-92EC-2092C8A8744E}"/>
  </bookViews>
  <sheets>
    <sheet name="Sheet1" sheetId="1" r:id="rId1"/>
  </sheets>
  <definedNames>
    <definedName name="_xlnm._FilterDatabase" localSheetId="0" hidden="1">Sheet1!$A$4:$G$9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G5" i="1" s="1" a="1"/>
  <c r="G5" i="1" s="1"/>
  <c r="G8" i="1"/>
  <c r="F9" i="1"/>
  <c r="G9" i="1" s="1"/>
  <c r="F8" i="1"/>
  <c r="F7" i="1"/>
  <c r="G7" i="1" s="1"/>
  <c r="F6" i="1"/>
  <c r="G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<sst xmlns="http://schemas.openxmlformats.org/spreadsheetml/2006/main" count="21" uniqueCount="19">
  <si>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ผลการเรียน ป.2/1 ห้องครูไก่</t>
  </si>
  <si>
    <t>ลำดับ</t>
  </si>
  <si>
    <t>ชี่อ</t>
  </si>
  <si>
    <t>คะแนนเก็บ</t>
  </si>
  <si>
    <t>กลางภาค</t>
  </si>
  <si>
    <t>ปลายภาค</t>
  </si>
  <si>
    <t>รวม</t>
  </si>
  <si>
    <t>ดำ</t>
  </si>
  <si>
    <t>แดง</t>
  </si>
  <si>
    <t>ขาว</t>
  </si>
  <si>
    <t>ฟ้า</t>
  </si>
  <si>
    <t>ทอง</t>
  </si>
  <si>
    <t>เกรด</t>
  </si>
  <si>
    <t>A</t>
  </si>
  <si>
    <t>B</t>
  </si>
  <si>
    <t>C</t>
  </si>
  <si>
    <t>D</t>
  </si>
  <si>
    <t>F</t>
  </si>
  <si>
    <t>จำนวน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</si>
</sst>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</c:f>
              <c:strCache>
                <c:ptCount val="1"/>
                <c:pt idx="0">
                  <c:v>จำนวน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Sheet1!$I$5:$I$9</c:f>
              <c:strCache>
                <c:ptCount val="2"/>
                <c:pt idx="0">
                  <c:v>A</c:v>
                </c:pt>
                <c:pt idx="1">
                  <c:v>C</c:v>
                </c:pt>
              </c:strCache>
            </c:strRef>
          </c:cat>
          <c:val>
            <c:numRef>
              <c:f>Sheet1!$L$5:$L$9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3-4A41-AFF0-184E6BC20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136831"/>
        <c:axId val="406137791"/>
      </c:barChart>
      <c:catAx>
        <c:axId val="4061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06137791"/>
        <c:crosses val="autoZero"/>
        <c:auto val="1"/>
        <c:lblAlgn val="ctr"/>
        <c:lblOffset val="100"/>
        <c:noMultiLvlLbl val="0"/>
      </c:catAx>
      <c:valAx>
        <c:axId val="4061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06136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271462</xdr:colOff>
      <xdr:row>10</xdr:row>
      <xdr:rowOff>76200</xdr:rowOff>
    </xdr:from>
    <xdr:to>
      <xdr:col>15</xdr:col>
      <xdr:colOff>42862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D601A-30F5-0807-182C-1094AEB3E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F584-510F-4139-827B-5DFCEC6A15F1}">
  <sheetPr filterMode="1"/>
  <dimension ref="A2:L10"/>
  <sheetViews>
    <sheetView tabSelected="1" workbookViewId="0">
      <selection activeCell="H15" sqref="H15"/>
    </sheetView>
  </sheetViews>
  <sheetFormatPr defaultRowHeight="14.25" x14ac:dyDescent="0.2"/>
  <sheetData>
    <row r="2" spans="1:12" x14ac:dyDescent="0.2">
      <c r="B2" t="s">
        <v>0</v>
      </c>
    </row>
    <row r="3" spans="1:12" x14ac:dyDescent="0.2">
      <c r="C3">
        <v>40</v>
      </c>
      <c r="D3">
        <v>30</v>
      </c>
      <c r="E3">
        <v>30</v>
      </c>
      <c r="F3">
        <v>100</v>
      </c>
    </row>
    <row r="4" spans="1:12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12</v>
      </c>
      <c r="I4" t="s">
        <v>12</v>
      </c>
      <c r="L4" t="s">
        <v>18</v>
      </c>
    </row>
    <row r="5" spans="1:12" x14ac:dyDescent="0.2">
      <c r="A5">
        <v>1</v>
      </c>
      <c r="B5" t="s">
        <v>7</v>
      </c>
      <c r="C5">
        <v>30</v>
      </c>
      <c r="D5">
        <v>25</v>
      </c>
      <c r="E5">
        <v>35</v>
      </c>
      <c r="F5">
        <f>SUM(C5:E5)</f>
        <v>90</v>
      </c>
      <c r="G5" t="str" cm="1">
        <f t="array" ref="G5">IF(F5&gt;=J$5,"A",IF(F5&gt;=J$6,B+IF(F5&gt;=J$7,"C",IF(F5&gt;=J$8,"D","F"))))</f>
        <v>A</v>
      </c>
      <c r="I5" t="s">
        <v>13</v>
      </c>
      <c r="J5">
        <v>80</v>
      </c>
      <c r="K5">
        <v>100</v>
      </c>
      <c r="L5">
        <v>1</v>
      </c>
    </row>
    <row r="6" spans="1:12" hidden="1" x14ac:dyDescent="0.2">
      <c r="A6">
        <v>2</v>
      </c>
      <c r="B6" t="s">
        <v>8</v>
      </c>
      <c r="C6">
        <v>20</v>
      </c>
      <c r="D6">
        <v>15</v>
      </c>
      <c r="E6">
        <v>12</v>
      </c>
      <c r="F6">
        <f>SUM(C6:E6)</f>
        <v>47</v>
      </c>
      <c r="G6" t="str">
        <f>IF(F6&gt;=J$5,"A",IF(F6&gt;=J$6,"B",IF(F6&gt;=J$7,"C",IF(F6&gt;=J$8,"D","F"))))</f>
        <v>F</v>
      </c>
      <c r="I6" t="s">
        <v>14</v>
      </c>
      <c r="J6">
        <v>70</v>
      </c>
      <c r="K6">
        <v>79</v>
      </c>
      <c r="L6">
        <v>2</v>
      </c>
    </row>
    <row r="7" spans="1:12" x14ac:dyDescent="0.2">
      <c r="A7">
        <v>3</v>
      </c>
      <c r="B7" t="s">
        <v>9</v>
      </c>
      <c r="C7">
        <v>37</v>
      </c>
      <c r="D7">
        <v>19</v>
      </c>
      <c r="E7">
        <v>18</v>
      </c>
      <c r="F7">
        <f>SUM(C7:E7)</f>
        <v>74</v>
      </c>
      <c r="G7" t="str">
        <f>IF(F7&gt;=J$5,"A",IF(F7&gt;=J$6,"B",IF(F7&gt;=J$7,"C",IF(F7&gt;=J$8,"D","F"))))</f>
        <v>B</v>
      </c>
      <c r="I7" t="s">
        <v>15</v>
      </c>
      <c r="J7">
        <v>60</v>
      </c>
      <c r="K7">
        <v>69</v>
      </c>
      <c r="L7">
        <v>0</v>
      </c>
    </row>
    <row r="8" spans="1:12" hidden="1" x14ac:dyDescent="0.2">
      <c r="A8">
        <v>4</v>
      </c>
      <c r="B8" t="s">
        <v>10</v>
      </c>
      <c r="C8">
        <v>30</v>
      </c>
      <c r="D8">
        <v>10</v>
      </c>
      <c r="E8">
        <v>10</v>
      </c>
      <c r="F8">
        <f>SUM(C8:E8)</f>
        <v>50</v>
      </c>
      <c r="G8" t="str">
        <f t="shared" ref="G7:G9" si="0">IF(F8&gt;=J$5,"A",IF(F8&gt;=J$6,"B",IF(F8&gt;=J$7,"C",IF(F8&gt;=J$8,"D","F"))))</f>
        <v>D</v>
      </c>
      <c r="I8" t="s">
        <v>16</v>
      </c>
      <c r="J8">
        <v>50</v>
      </c>
      <c r="K8">
        <v>59</v>
      </c>
      <c r="L8">
        <v>1</v>
      </c>
    </row>
    <row r="9" spans="1:12" hidden="1" x14ac:dyDescent="0.2">
      <c r="A9">
        <v>5</v>
      </c>
      <c r="B9" t="s">
        <v>11</v>
      </c>
      <c r="C9">
        <v>38</v>
      </c>
      <c r="D9">
        <v>12</v>
      </c>
      <c r="E9">
        <v>16</v>
      </c>
      <c r="F9">
        <f>SUM(C9:E9)</f>
        <v>66</v>
      </c>
      <c r="G9" t="str">
        <f t="shared" si="0"/>
        <v>C</v>
      </c>
      <c r="I9" t="s">
        <v>17</v>
      </c>
      <c r="J9">
        <v>0</v>
      </c>
      <c r="K9">
        <v>49</v>
      </c>
      <c r="L9">
        <v>1</v>
      </c>
    </row>
    <row r="10" spans="1:12" x14ac:dyDescent="0.2">
      <c r="K10" t="s">
        <v>6</v>
      </c>
      <c r="L10">
        <v>5</v>
      </c>
    </row>
  </sheetData>
  <autoFilter ref="A4:G9" xr:uid="{D948F584-510F-4139-827B-5DFCEC6A15F1}">
    <filterColumn colId="5">
      <customFilters>
        <customFilter operator="greaterThan" val="70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IT-Student</dc:creator>
  <cp:lastModifiedBy>IT-Student</cp:lastModifiedBy>
  <dcterms:created xsi:type="dcterms:W3CDTF">2025-08-31T22:04:00Z</dcterms:created>
  <dcterms:modified xsi:type="dcterms:W3CDTF">2025-09-15T02:15:37Z</dcterms:modified>
</cp:coreProperties>
</file>